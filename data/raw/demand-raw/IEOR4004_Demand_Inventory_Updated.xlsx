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hrome下载\"/>
    </mc:Choice>
  </mc:AlternateContent>
  <xr:revisionPtr revIDLastSave="0" documentId="13_ncr:1_{1DDF816B-15F8-4C66-B094-1302A535F50E}" xr6:coauthVersionLast="47" xr6:coauthVersionMax="47" xr10:uidLastSave="{00000000-0000-0000-0000-000000000000}"/>
  <bookViews>
    <workbookView xWindow="-83" yWindow="0" windowWidth="10965" windowHeight="12863" firstSheet="6" activeTab="6" xr2:uid="{00000000-000D-0000-FFFF-FFFF00000000}"/>
  </bookViews>
  <sheets>
    <sheet name="README" sheetId="1" r:id="rId1"/>
    <sheet name="Model_Inputs" sheetId="2" r:id="rId2"/>
    <sheet name="EIA_Demand" sheetId="3" r:id="rId3"/>
    <sheet name="Monthly_Demand_Dth" sheetId="4" r:id="rId4"/>
    <sheet name="Storage_Inputs" sheetId="5" r:id="rId5"/>
    <sheet name="EIA_Storage_History" sheetId="6" r:id="rId6"/>
    <sheet name="LP_Read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7" l="1"/>
  <c r="A19" i="7"/>
  <c r="A16" i="7"/>
  <c r="A15" i="7"/>
  <c r="A14" i="7"/>
  <c r="A13" i="7"/>
  <c r="A12" i="7"/>
  <c r="A11" i="7"/>
  <c r="A10" i="7"/>
  <c r="A9" i="7"/>
  <c r="A8" i="7"/>
  <c r="A7" i="7"/>
  <c r="B6" i="7"/>
  <c r="A6" i="7"/>
  <c r="A5" i="7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C6" i="5"/>
  <c r="D6" i="5" s="1"/>
  <c r="B6" i="5"/>
  <c r="C5" i="5"/>
  <c r="B5" i="5"/>
  <c r="D5" i="5" s="1"/>
  <c r="F17" i="4"/>
  <c r="B16" i="4"/>
  <c r="B14" i="4"/>
  <c r="B12" i="4"/>
  <c r="B12" i="7" s="1"/>
  <c r="B10" i="4"/>
  <c r="B8" i="4"/>
  <c r="B6" i="4"/>
  <c r="D17" i="3"/>
  <c r="C17" i="3"/>
  <c r="B17" i="3"/>
  <c r="B31" i="2"/>
  <c r="B28" i="2"/>
  <c r="B22" i="2"/>
  <c r="G6" i="5" s="1"/>
  <c r="B21" i="2"/>
  <c r="G5" i="5" s="1"/>
  <c r="B16" i="2"/>
  <c r="B13" i="2"/>
  <c r="B12" i="2"/>
  <c r="B15" i="2" s="1"/>
  <c r="C14" i="4" s="1"/>
  <c r="B11" i="2"/>
  <c r="B14" i="2" s="1"/>
  <c r="I6" i="5" l="1"/>
  <c r="F6" i="5"/>
  <c r="B20" i="7" s="1"/>
  <c r="E6" i="5"/>
  <c r="H14" i="4"/>
  <c r="C14" i="7"/>
  <c r="I5" i="5"/>
  <c r="D7" i="5"/>
  <c r="F5" i="5"/>
  <c r="E5" i="5"/>
  <c r="E7" i="5" s="1"/>
  <c r="D16" i="4"/>
  <c r="D14" i="4"/>
  <c r="D12" i="4"/>
  <c r="D10" i="4"/>
  <c r="D8" i="4"/>
  <c r="D6" i="4"/>
  <c r="G10" i="4"/>
  <c r="B10" i="7"/>
  <c r="B23" i="2"/>
  <c r="H5" i="5" s="1"/>
  <c r="D19" i="7" s="1"/>
  <c r="D11" i="4"/>
  <c r="C15" i="4"/>
  <c r="C13" i="4"/>
  <c r="C11" i="4"/>
  <c r="C9" i="4"/>
  <c r="C7" i="4"/>
  <c r="C5" i="4"/>
  <c r="G6" i="4"/>
  <c r="E6" i="4"/>
  <c r="C6" i="4"/>
  <c r="B24" i="2"/>
  <c r="H6" i="5" s="1"/>
  <c r="D20" i="7" s="1"/>
  <c r="B16" i="7"/>
  <c r="G16" i="4"/>
  <c r="C8" i="4"/>
  <c r="C16" i="4"/>
  <c r="G14" i="4"/>
  <c r="B14" i="7"/>
  <c r="C10" i="4"/>
  <c r="D7" i="4"/>
  <c r="D15" i="4"/>
  <c r="B8" i="7"/>
  <c r="G8" i="4"/>
  <c r="G12" i="4"/>
  <c r="C12" i="4"/>
  <c r="B15" i="4"/>
  <c r="B13" i="4"/>
  <c r="B11" i="4"/>
  <c r="B9" i="4"/>
  <c r="B7" i="4"/>
  <c r="B5" i="4"/>
  <c r="D5" i="4"/>
  <c r="D9" i="4"/>
  <c r="D13" i="4"/>
  <c r="D17" i="4" l="1"/>
  <c r="I5" i="4"/>
  <c r="D5" i="7"/>
  <c r="I12" i="4"/>
  <c r="D12" i="7"/>
  <c r="I14" i="4"/>
  <c r="D14" i="7"/>
  <c r="D13" i="7"/>
  <c r="I13" i="4"/>
  <c r="I8" i="4"/>
  <c r="D8" i="7"/>
  <c r="D9" i="7"/>
  <c r="I9" i="4"/>
  <c r="I15" i="4"/>
  <c r="D15" i="7"/>
  <c r="I10" i="4"/>
  <c r="D10" i="7"/>
  <c r="C17" i="4"/>
  <c r="H5" i="4"/>
  <c r="C5" i="7"/>
  <c r="H10" i="4"/>
  <c r="C10" i="7"/>
  <c r="B7" i="7"/>
  <c r="G7" i="4"/>
  <c r="E7" i="4"/>
  <c r="E14" i="4"/>
  <c r="I16" i="4"/>
  <c r="D16" i="7"/>
  <c r="B9" i="7"/>
  <c r="G9" i="4"/>
  <c r="E9" i="4"/>
  <c r="F7" i="5"/>
  <c r="B19" i="7"/>
  <c r="C16" i="7"/>
  <c r="H16" i="4"/>
  <c r="C15" i="7"/>
  <c r="H15" i="4"/>
  <c r="B15" i="7"/>
  <c r="G15" i="4"/>
  <c r="E15" i="4"/>
  <c r="C8" i="7"/>
  <c r="H8" i="4"/>
  <c r="D11" i="7"/>
  <c r="I11" i="4"/>
  <c r="I7" i="5"/>
  <c r="K5" i="5"/>
  <c r="J5" i="5"/>
  <c r="H12" i="4"/>
  <c r="C12" i="7"/>
  <c r="E16" i="4"/>
  <c r="E12" i="4"/>
  <c r="E10" i="4"/>
  <c r="E8" i="4"/>
  <c r="D7" i="7"/>
  <c r="I7" i="4"/>
  <c r="B17" i="4"/>
  <c r="B5" i="7"/>
  <c r="G5" i="4"/>
  <c r="E5" i="4"/>
  <c r="C7" i="7"/>
  <c r="H7" i="4"/>
  <c r="H9" i="4"/>
  <c r="C9" i="7"/>
  <c r="C11" i="7"/>
  <c r="H11" i="4"/>
  <c r="B11" i="7"/>
  <c r="E11" i="4"/>
  <c r="G11" i="4"/>
  <c r="C13" i="7"/>
  <c r="H13" i="4"/>
  <c r="B13" i="7"/>
  <c r="G13" i="4"/>
  <c r="E13" i="4"/>
  <c r="H6" i="4"/>
  <c r="C6" i="7"/>
  <c r="I6" i="4"/>
  <c r="D6" i="7"/>
  <c r="K6" i="5"/>
  <c r="C20" i="7" s="1"/>
  <c r="J6" i="5"/>
  <c r="J7" i="5" l="1"/>
  <c r="C19" i="7"/>
  <c r="B30" i="2"/>
  <c r="K7" i="5"/>
  <c r="E17" i="4"/>
  <c r="B29" i="2" s="1"/>
</calcChain>
</file>

<file path=xl/sharedStrings.xml><?xml version="1.0" encoding="utf-8"?>
<sst xmlns="http://schemas.openxmlformats.org/spreadsheetml/2006/main" count="277" uniqueCount="198">
  <si>
    <t>IEOR 4004  |  Demand &amp; Storage Inputs (Revised)</t>
  </si>
  <si>
    <t>DELIVERY</t>
  </si>
  <si>
    <t>WHAT / HOW TO USE</t>
  </si>
  <si>
    <t>LP_Ready</t>
  </si>
  <si>
    <t>Copy 12 x 3 monthly contracted demand (Dth/month), storage maximum capacity and initial inventory (Dth).</t>
  </si>
  <si>
    <t>Monthly_Demand_Dth</t>
  </si>
  <si>
    <t>Formula-based monthly NY/NJ/PA merchant demand. Daily averages are for scale checks, NOT daily peak obligations.</t>
  </si>
  <si>
    <t>Storage_Inputs</t>
  </si>
  <si>
    <t>Two storage facilities: maximum leased working-gas capacity and March-2025-based initial inventory, both in Dth.</t>
  </si>
  <si>
    <t>Model_Inputs</t>
  </si>
  <si>
    <t>EDIT BLUE-INPUT VALUES: company annual scale, NY/NJ/PA allocation, PA/NY leased shares, heating factor.</t>
  </si>
  <si>
    <t>EIA_Demand</t>
  </si>
  <si>
    <t>12 months of state delivered gas from the NEW, corrected Demand(1).xlsx, units MMcf; imputation flags included.</t>
  </si>
  <si>
    <t>EIA_Storage_History</t>
  </si>
  <si>
    <t>PA/NY EIA state working gas inventory monthly values (MMcf), NOT the merchant optimal monthly inventory.</t>
  </si>
  <si>
    <t>Model date range</t>
  </si>
  <si>
    <t>2025-04 to 2026-03, 12 months; initial inventory taken from Mar 2025 (just before Apr model start).</t>
  </si>
  <si>
    <t>Company scale</t>
  </si>
  <si>
    <t>30 Bcf/y is a PRELIMINARY SCENARIO, benchmarked against NJR Energy Services 108.6 Bcf managed/sold FY2025.</t>
  </si>
  <si>
    <t>Market allocation</t>
  </si>
  <si>
    <t>45% NY / 25% NJ / 30% PA are ASSUMPTIONS, not observed merchant state market shares.</t>
  </si>
  <si>
    <t>Storage lease sizes</t>
  </si>
  <si>
    <t>PA 0.5% of EIA statewide working capacity; NY 1.0%. Both are ASSUMPTIONS, not actual company contracts.</t>
  </si>
  <si>
    <t>Initial fill</t>
  </si>
  <si>
    <t>Observed Mar 2025 statewide inventory/capacity ratio is applied as a PROXY for each modeled merchant facility.</t>
  </si>
  <si>
    <t>Important caveat</t>
  </si>
  <si>
    <t>Pipeline values are full-pipeline maxima, not merchant-contracted capacities. Route/storage connection and deliverability not proved.</t>
  </si>
  <si>
    <t>PUBLIC DATA SOURCES</t>
  </si>
  <si>
    <t>URL OR DESCRIPTION</t>
  </si>
  <si>
    <t>EIA NY delivered gas</t>
  </si>
  <si>
    <t>https://www.eia.gov/dnav/ng/hist/n3060ny2m.htm</t>
  </si>
  <si>
    <t>EIA NJ delivered gas</t>
  </si>
  <si>
    <t>https://www.eia.gov/dnav/ng/hist/n3060nj2m.htm</t>
  </si>
  <si>
    <t>EIA PA delivered gas</t>
  </si>
  <si>
    <t>https://www.eia.gov/dnav/ng/hist/n3060pa2m.htm</t>
  </si>
  <si>
    <t>EIA PA working capacity</t>
  </si>
  <si>
    <t>https://www.eia.gov/dnav/ng/hist/nga_epg0_sacw0_spa_mmcfm.htm</t>
  </si>
  <si>
    <t>EIA NY working capacity</t>
  </si>
  <si>
    <t>https://www.eia.gov/dnav/ng/hist/nga_epg0_sacw0_sny_mmcfm.htm</t>
  </si>
  <si>
    <t>EIA PA working inventory</t>
  </si>
  <si>
    <t>https://www.eia.gov/dnav/ng/hist/n5020pa2m.htm</t>
  </si>
  <si>
    <t>EIA NY working inventory</t>
  </si>
  <si>
    <t>https://www.eia.gov/dnav/ng/hist/n5020ny2m.htm</t>
  </si>
  <si>
    <t>UNITS &amp; MODEL CONVENTIONS</t>
  </si>
  <si>
    <t>DETAILS</t>
  </si>
  <si>
    <t>1 Bcf</t>
  </si>
  <si>
    <t>1,000 MMcf (volume conversion).</t>
  </si>
  <si>
    <t>1 MMcf =&gt; 1,037 Dth</t>
  </si>
  <si>
    <t>Energy equivalence ASSUMES ~1.037 MMBtu/Mcf; 1 Dth = 1 MMBtu. Not an exact physical identity.</t>
  </si>
  <si>
    <t>Storage fees</t>
  </si>
  <si>
    <t>Per latest team decision, injection/withdrawal fees set to zero; daily injection/withdrawal RATE LIMITS still matter.</t>
  </si>
  <si>
    <t>EIA interpolation</t>
  </si>
  <si>
    <t>NJ Jul/Aug/Oct 2025 and PA Nov/Dec 2025 are previously estimated values carried over from input workbook.</t>
  </si>
  <si>
    <t>Model assumptions &amp; derived merchant shares</t>
  </si>
  <si>
    <t>Blue numbers are inputs; formula rows update automatically when demand or assumptions change</t>
  </si>
  <si>
    <t>PARAMETER</t>
  </si>
  <si>
    <t>VALUE</t>
  </si>
  <si>
    <t>UNIT</t>
  </si>
  <si>
    <t>METHOD / CAVEAT</t>
  </si>
  <si>
    <t>MMcf to Dth</t>
  </si>
  <si>
    <t>Dth/MMcf</t>
  </si>
  <si>
    <t>Assumed gas heat content of ~1.037 MMBtu/Mcf; no exact volume-to-energy identity.</t>
  </si>
  <si>
    <t>Bcf to MMcf</t>
  </si>
  <si>
    <t>MMcf/Bcf</t>
  </si>
  <si>
    <t>Volume unit conversion.</t>
  </si>
  <si>
    <t>Annual merchant demand</t>
  </si>
  <si>
    <t>Bcf/year</t>
  </si>
  <si>
    <t>Hypothetical regional division; NJR 108.6 Bcf managed/sold FY2025 is peer scale only.</t>
  </si>
  <si>
    <t>NY annual volume allocation</t>
  </si>
  <si>
    <t>share</t>
  </si>
  <si>
    <t>Hypothetical regional demand allocation.</t>
  </si>
  <si>
    <t>NJ annual volume allocation</t>
  </si>
  <si>
    <t>PA annual volume allocation</t>
  </si>
  <si>
    <t>Annual state demand NY</t>
  </si>
  <si>
    <t>MMcf/y</t>
  </si>
  <si>
    <t>Sum of uploaded NY monthly EIA series (corrected sheet).</t>
  </si>
  <si>
    <t>Annual state demand NJ</t>
  </si>
  <si>
    <t>Sum of uploaded NJ series including three estimated months.</t>
  </si>
  <si>
    <t>Annual state demand PA</t>
  </si>
  <si>
    <t>Sum of uploaded PA series including two estimated months.</t>
  </si>
  <si>
    <t>Merchant share NY</t>
  </si>
  <si>
    <t>Merchant annual allocated Bcf / state annual EIA Bcf.</t>
  </si>
  <si>
    <t>Merchant share NJ</t>
  </si>
  <si>
    <t>Merchant share PA</t>
  </si>
  <si>
    <t>Leased storage share PA</t>
  </si>
  <si>
    <t>Preliminary assumed fraction of PA statewide working gas capacity.</t>
  </si>
  <si>
    <t>Leased storage share NY</t>
  </si>
  <si>
    <t>Preliminary assumed fraction of NY statewide working gas capacity.</t>
  </si>
  <si>
    <t>PA state working capacity</t>
  </si>
  <si>
    <t>MMcf</t>
  </si>
  <si>
    <t>Previously sourced EIA Mar 2025 state working gas capacity (not present in inventory CSV).</t>
  </si>
  <si>
    <t>NY state working capacity</t>
  </si>
  <si>
    <t>PA EIA March 2025 inventory</t>
  </si>
  <si>
    <t>Read from uploaded PA inventory.csv; March 2025.</t>
  </si>
  <si>
    <t>NY EIA March 2025 inventory</t>
  </si>
  <si>
    <t>Read from uploaded NY INVENTORY.csv; March 2025.</t>
  </si>
  <si>
    <t>Initial fill ratio PA</t>
  </si>
  <si>
    <t>PA EIA March 2025 state inventory / state capacity; proxy merchant fill.</t>
  </si>
  <si>
    <t>Initial fill ratio NY</t>
  </si>
  <si>
    <t>NY EIA March 2025 state inventory / state capacity; proxy merchant fill.</t>
  </si>
  <si>
    <t>QUALITY CHECK</t>
  </si>
  <si>
    <t>RESULT</t>
  </si>
  <si>
    <t>EXPECTED</t>
  </si>
  <si>
    <t>INTERPRETATION</t>
  </si>
  <si>
    <t>State allocation sums to 100%</t>
  </si>
  <si>
    <t>1</t>
  </si>
  <si>
    <t>Total of NY+NJ+PA allocation fractions.</t>
  </si>
  <si>
    <t>LP demand matches annual volume</t>
  </si>
  <si>
    <t>30 Bcf</t>
  </si>
  <si>
    <t>Monthly Dth total / assumed Dth per Bcf.</t>
  </si>
  <si>
    <t>Storage initial &lt;= max</t>
  </si>
  <si>
    <t>TRUE</t>
  </si>
  <si>
    <t>Both modeled starting inventories stay inside leased bounds.</t>
  </si>
  <si>
    <t>Imported NY Jan 2026</t>
  </si>
  <si>
    <t>197,284 MMcf</t>
  </si>
  <si>
    <t>Confirms corrected NY source series was used.</t>
  </si>
  <si>
    <t>EIA Natural Gas Delivered to Consumers</t>
  </si>
  <si>
    <t>Source: revised Demand(1).xlsx | Input unit = Million Cubic Feet (MMcf)</t>
  </si>
  <si>
    <t>MONTH</t>
  </si>
  <si>
    <t>NY (MMcf)</t>
  </si>
  <si>
    <t>NJ (MMcf)</t>
  </si>
  <si>
    <t>PA (MMcf)</t>
  </si>
  <si>
    <t>NY STATUS</t>
  </si>
  <si>
    <t>NJ STATUS</t>
  </si>
  <si>
    <t>PA STATUS</t>
  </si>
  <si>
    <t>2025-04</t>
  </si>
  <si>
    <t>EIA</t>
  </si>
  <si>
    <t>EIA as provided</t>
  </si>
  <si>
    <t>2025-05</t>
  </si>
  <si>
    <t>2025-06</t>
  </si>
  <si>
    <t>2025-07</t>
  </si>
  <si>
    <t>Estimated (historical YoY)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</si>
  <si>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</si>
  <si>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</si>
  <si>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</si>
  <si>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</si>
  <si>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</si>
  <si>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</si>
  <si>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</si>
  <si>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</si>
  <si>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ANNUAL STATE TOTAL</t>
  </si>
  <si>
    <t>Estimated months: NJ Jul, Aug, Oct 2025; PA Nov, Dec 2025. These are supplied imputed figures, not raw EIA publication values.</t>
  </si>
  <si>
    <t>All original quantities are MMcf. LP demands will be converted to Dth/month on the next sheet.</t>
  </si>
  <si>
    <t>Monthly contracted demand for LP</t>
  </si>
  <si>
    <t>D_{j,t} = State EIA MMcf x 1,037 Dth/MMcf x state merchant share</t>
  </si>
  <si>
    <t>NY (Dth/month)</t>
  </si>
  <si>
    <t>NJ (Dth/month)</t>
  </si>
  <si>
    <t>PA (Dth/month)</t>
  </si>
  <si>
    <t>TOTAL (Dth/month)</t>
  </si>
  <si>
    <t>DAYS</t>
  </si>
  <si>
    <t>NY AVG Dth/day</t>
  </si>
  <si>
    <t>NJ AVG Dth/day</t>
  </si>
  <si>
    <t>PA AVG Dth/day</t>
  </si>
  <si>
    <t>ANNUAL TOTAL</t>
  </si>
  <si>
    <t>Model requirement: Dth/month, not statewide MMcf and not Dth/day. Daily columns are monthly AVERAGES for checks only.</t>
  </si>
  <si>
    <t>Merchant storage capacity &amp; initial inventory for LP</t>
  </si>
  <si>
    <t>State total capacity x assumed leased share; I0 = leased capacity x observed March-2025 state fill ratio</t>
  </si>
  <si>
    <t>FACILITY</t>
  </si>
  <si>
    <t>EIA STATE CAPACITY (MMcf)</t>
  </si>
  <si>
    <t>LEASE SHARE</t>
  </si>
  <si>
    <t>LEASED MAX (MMcf)</t>
  </si>
  <si>
    <t>LEASED MAX (Bcf)</t>
  </si>
  <si>
    <t>LEASED MAX (Dth)</t>
  </si>
  <si>
    <t>EIA MAR25 INVENTORY (MMcf)</t>
  </si>
  <si>
    <t>INITIAL FILL</t>
  </si>
  <si>
    <t>MODEL I0 (MMcf)</t>
  </si>
  <si>
    <t>MODEL I0 (Bcf)</t>
  </si>
  <si>
    <t>MODEL I0 (Dth)</t>
  </si>
  <si>
    <t>PA Hub</t>
  </si>
  <si>
    <t>NY Market</t>
  </si>
  <si>
    <t>TOTAL</t>
  </si>
  <si>
    <t>What is I0?</t>
  </si>
  <si>
    <t>Initial working-gas inventory at the beginning of Apr 2025 (LP fixed parameter).</t>
  </si>
  <si>
    <t>What is Imax?</t>
  </si>
  <si>
    <t>Maximum LEASED working-gas volume for one hypothetical facility (LP bound, NOT state capacity).</t>
  </si>
  <si>
    <t>What about I[f,t]?</t>
  </si>
  <si>
    <t>Monthly end-inventory is a MODEL DECISION VARIABLE; it is not the EIA state monthly inventory.</t>
  </si>
  <si>
    <t>Operational caveats</t>
  </si>
  <si>
    <t>Injection/withdrawal rate bounds and actual downstream access must be checked independently.</t>
  </si>
  <si>
    <t>EIA statewide working-gas inventory history</t>
  </si>
  <si>
    <t>Monthly EIA state inventory from supplied CSV; merchant inventory I[f,t] remains an LP decision variable</t>
  </si>
  <si>
    <t>NY inventory (MMcf)</t>
  </si>
  <si>
    <t>PA inventory (MMcf)</t>
  </si>
  <si>
    <t>NY (Dth; ref only)</t>
  </si>
  <si>
    <t>PA (Dth; ref only)</t>
  </si>
  <si>
    <t>2025-03</t>
  </si>
  <si>
    <t>March 2025 (yellow) is the pre-model state inventory reference for initial fill ratios.</t>
  </si>
  <si>
    <t>Apr 2025-Mar 2026 observed STATE inventories are included for reference only; never paste them as merchant I[f,t].</t>
  </si>
  <si>
    <t>LP-ready inputs: Demand + Storage</t>
  </si>
  <si>
    <t>Copy monthly NY/NJ/PA demand in Dth/month; storage rows below are in Dth</t>
  </si>
  <si>
    <t>Month</t>
  </si>
  <si>
    <t>D_NY,t (Dth/month)</t>
  </si>
  <si>
    <t>D_NJ,t (Dth/month)</t>
  </si>
  <si>
    <t>D_PA,t (Dth/month)</t>
  </si>
  <si>
    <t>INITIAL FILL (%)</t>
  </si>
  <si>
    <t>Output assumptions are preliminary, not verified merchant contracts. See Model_Inputs and README.</t>
  </si>
  <si>
    <t>I_bar_f (Dth)</t>
    <phoneticPr fontId="6" type="noConversion"/>
  </si>
  <si>
    <t>I_f,0 (Dth)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</si>
</sst>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.0000%"/>
    <numFmt numFmtId="178" formatCode="#,##0.000"/>
    <numFmt numFmtId="179" formatCode="0.000"/>
  </numFmts>
  <fonts count="7">
    <font>
      <sz val="11"/>
      <name val="Carlito"/>
    </font>
    <font>
      <b/>
      <sz val="15"/>
      <color rgb="FFFFFFFF"/>
      <name val="Carlito"/>
    </font>
    <font>
      <sz val="10"/>
      <color rgb="FF1F5D7B"/>
      <name val="Carlito"/>
    </font>
    <font>
      <b/>
      <sz val="11"/>
      <color rgb="FFFFFFFF"/>
      <name val="Carlito"/>
    </font>
    <font>
      <sz val="11"/>
      <color rgb="FF637583"/>
      <name val="Carlito"/>
    </font>
    <font>
      <sz val="11"/>
      <name val="Carlito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16324B"/>
      </patternFill>
    </fill>
    <fill>
      <patternFill patternType="solid">
        <fgColor rgb="FFEAF3F7"/>
      </patternFill>
    </fill>
    <fill>
      <patternFill patternType="solid">
        <fgColor rgb="FF1F5D7B"/>
      </patternFill>
    </fill>
    <fill>
      <patternFill patternType="solid">
        <fgColor rgb="FFD8EFF8"/>
      </patternFill>
    </fill>
    <fill>
      <patternFill patternType="solid">
        <fgColor rgb="FFEEF5F6"/>
      </patternFill>
    </fill>
    <fill>
      <patternFill patternType="solid">
        <fgColor rgb="FFF3F7FA"/>
      </patternFill>
    </fill>
    <fill>
      <patternFill patternType="solid">
        <fgColor rgb="FFFFF0D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0" fillId="3" borderId="0" xfId="1" applyFont="1" applyFill="1"/>
    <xf numFmtId="0" fontId="3" fillId="4" borderId="0" xfId="1" applyFont="1" applyFill="1" applyAlignment="1">
      <alignment vertical="center" wrapText="1"/>
    </xf>
    <xf numFmtId="10" fontId="0" fillId="0" borderId="0" xfId="1" applyNumberFormat="1" applyFont="1"/>
    <xf numFmtId="0" fontId="0" fillId="5" borderId="0" xfId="1" applyFont="1" applyFill="1"/>
    <xf numFmtId="176" fontId="0" fillId="5" borderId="0" xfId="1" applyNumberFormat="1" applyFont="1" applyFill="1"/>
    <xf numFmtId="177" fontId="0" fillId="5" borderId="0" xfId="1" applyNumberFormat="1" applyFont="1" applyFill="1"/>
    <xf numFmtId="0" fontId="0" fillId="6" borderId="0" xfId="1" applyFont="1" applyFill="1"/>
    <xf numFmtId="177" fontId="0" fillId="6" borderId="0" xfId="1" applyNumberFormat="1" applyFont="1" applyFill="1"/>
    <xf numFmtId="10" fontId="0" fillId="6" borderId="0" xfId="1" applyNumberFormat="1" applyFont="1" applyFill="1"/>
    <xf numFmtId="3" fontId="0" fillId="0" borderId="0" xfId="1" applyNumberFormat="1" applyFont="1"/>
    <xf numFmtId="0" fontId="0" fillId="7" borderId="0" xfId="1" applyFont="1" applyFill="1"/>
    <xf numFmtId="3" fontId="0" fillId="7" borderId="0" xfId="1" applyNumberFormat="1" applyFont="1" applyFill="1"/>
    <xf numFmtId="3" fontId="0" fillId="8" borderId="0" xfId="1" applyNumberFormat="1" applyFont="1" applyFill="1"/>
    <xf numFmtId="0" fontId="0" fillId="8" borderId="0" xfId="1" applyFont="1" applyFill="1"/>
    <xf numFmtId="3" fontId="0" fillId="3" borderId="0" xfId="1" applyNumberFormat="1" applyFont="1" applyFill="1"/>
    <xf numFmtId="0" fontId="4" fillId="0" borderId="0" xfId="1" applyFont="1"/>
    <xf numFmtId="0" fontId="3" fillId="2" borderId="0" xfId="1" applyFont="1" applyFill="1"/>
    <xf numFmtId="3" fontId="3" fillId="2" borderId="0" xfId="1" applyNumberFormat="1" applyFont="1" applyFill="1"/>
    <xf numFmtId="178" fontId="0" fillId="0" borderId="0" xfId="1" applyNumberFormat="1" applyFont="1"/>
    <xf numFmtId="178" fontId="3" fillId="2" borderId="0" xfId="1" applyNumberFormat="1" applyFont="1" applyFill="1"/>
    <xf numFmtId="179" fontId="0" fillId="0" borderId="0" xfId="1" applyNumberFormat="1" applyFont="1"/>
    <xf numFmtId="179" fontId="3" fillId="2" borderId="0" xfId="1" applyNumberFormat="1" applyFont="1" applyFill="1"/>
    <xf numFmtId="10" fontId="0" fillId="7" borderId="0" xfId="1" applyNumberFormat="1" applyFont="1" applyFill="1"/>
    <xf numFmtId="178" fontId="0" fillId="7" borderId="0" xfId="1" applyNumberFormat="1" applyFont="1" applyFill="1"/>
    <xf numFmtId="179" fontId="0" fillId="7" borderId="0" xfId="1" applyNumberFormat="1" applyFont="1" applyFill="1"/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zoomScale="79" workbookViewId="0">
      <pane ySplit="1" topLeftCell="A2" activePane="bottomLeft" state="frozen"/>
      <selection pane="bottomLeft" activeCell="G9" sqref="G9"/>
    </sheetView>
  </sheetViews>
  <sheetFormatPr defaultRowHeight="13.5"/>
  <cols>
    <col min="1" max="1" width="34" customWidth="1"/>
    <col min="2" max="2" width="102" customWidth="1"/>
  </cols>
  <sheetData>
    <row r="1" spans="1:4" ht="35" customHeight="1">
      <c r="A1" s="26" t="s">
        <v>0</v>
      </c>
      <c r="B1" s="26"/>
      <c r="C1" s="26"/>
      <c r="D1" s="26"/>
    </row>
    <row r="3" spans="1:4" ht="30" customHeight="1">
      <c r="A3" s="2" t="s">
        <v>1</v>
      </c>
      <c r="B3" s="2" t="s">
        <v>2</v>
      </c>
    </row>
    <row r="4" spans="1:4">
      <c r="A4" t="s">
        <v>3</v>
      </c>
      <c r="B4" t="s">
        <v>4</v>
      </c>
    </row>
    <row r="5" spans="1:4">
      <c r="A5" t="s">
        <v>5</v>
      </c>
      <c r="B5" t="s">
        <v>6</v>
      </c>
    </row>
    <row r="6" spans="1:4">
      <c r="A6" t="s">
        <v>7</v>
      </c>
      <c r="B6" t="s">
        <v>8</v>
      </c>
    </row>
    <row r="7" spans="1:4">
      <c r="A7" t="s">
        <v>9</v>
      </c>
      <c r="B7" t="s">
        <v>10</v>
      </c>
    </row>
    <row r="8" spans="1:4">
      <c r="A8" t="s">
        <v>11</v>
      </c>
      <c r="B8" t="s">
        <v>12</v>
      </c>
    </row>
    <row r="9" spans="1:4">
      <c r="A9" t="s">
        <v>13</v>
      </c>
      <c r="B9" t="s">
        <v>14</v>
      </c>
    </row>
    <row r="10" spans="1:4">
      <c r="A10" t="s">
        <v>15</v>
      </c>
      <c r="B10" t="s">
        <v>16</v>
      </c>
    </row>
    <row r="11" spans="1:4">
      <c r="A11" t="s">
        <v>17</v>
      </c>
      <c r="B11" t="s">
        <v>18</v>
      </c>
    </row>
    <row r="12" spans="1:4">
      <c r="A12" t="s">
        <v>19</v>
      </c>
      <c r="B12" t="s">
        <v>20</v>
      </c>
    </row>
    <row r="13" spans="1:4">
      <c r="A13" t="s">
        <v>21</v>
      </c>
      <c r="B13" t="s">
        <v>22</v>
      </c>
    </row>
    <row r="14" spans="1:4">
      <c r="A14" t="s">
        <v>23</v>
      </c>
      <c r="B14" t="s">
        <v>24</v>
      </c>
    </row>
    <row r="15" spans="1:4">
      <c r="A15" t="s">
        <v>25</v>
      </c>
      <c r="B15" t="s">
        <v>26</v>
      </c>
    </row>
    <row r="17" spans="1:2" ht="30" customHeight="1">
      <c r="A17" s="2" t="s">
        <v>27</v>
      </c>
      <c r="B17" s="2" t="s">
        <v>28</v>
      </c>
    </row>
    <row r="18" spans="1:2">
      <c r="A18" t="s">
        <v>29</v>
      </c>
      <c r="B18" t="s">
        <v>30</v>
      </c>
    </row>
    <row r="19" spans="1:2">
      <c r="A19" t="s">
        <v>31</v>
      </c>
      <c r="B19" t="s">
        <v>32</v>
      </c>
    </row>
    <row r="20" spans="1:2">
      <c r="A20" t="s">
        <v>33</v>
      </c>
      <c r="B20" t="s">
        <v>34</v>
      </c>
    </row>
    <row r="21" spans="1:2">
      <c r="A21" t="s">
        <v>35</v>
      </c>
      <c r="B21" t="s">
        <v>36</v>
      </c>
    </row>
    <row r="22" spans="1:2">
      <c r="A22" t="s">
        <v>37</v>
      </c>
      <c r="B22" t="s">
        <v>38</v>
      </c>
    </row>
    <row r="23" spans="1:2">
      <c r="A23" t="s">
        <v>39</v>
      </c>
      <c r="B23" t="s">
        <v>40</v>
      </c>
    </row>
    <row r="24" spans="1:2">
      <c r="A24" t="s">
        <v>41</v>
      </c>
      <c r="B24" t="s">
        <v>42</v>
      </c>
    </row>
    <row r="27" spans="1:2" ht="30" customHeight="1">
      <c r="A27" s="2" t="s">
        <v>43</v>
      </c>
      <c r="B27" s="2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</sheetData>
  <mergeCells count="1">
    <mergeCell ref="A1:D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zoomScale="47" workbookViewId="0">
      <pane ySplit="4" topLeftCell="A5" activePane="bottomLeft" state="frozen"/>
      <selection pane="bottomLeft" sqref="A1:D1"/>
    </sheetView>
  </sheetViews>
  <sheetFormatPr defaultRowHeight="13.5"/>
  <cols>
    <col min="1" max="1" width="36" customWidth="1"/>
    <col min="2" max="3" width="18" customWidth="1"/>
    <col min="4" max="4" width="85" customWidth="1"/>
  </cols>
  <sheetData>
    <row r="1" spans="1:4" ht="35" customHeight="1">
      <c r="A1" s="26" t="s">
        <v>53</v>
      </c>
      <c r="B1" s="26"/>
      <c r="C1" s="26"/>
      <c r="D1" s="26"/>
    </row>
    <row r="2" spans="1:4" ht="27" customHeight="1">
      <c r="A2" s="27" t="s">
        <v>54</v>
      </c>
      <c r="B2" s="27"/>
      <c r="C2" s="27"/>
      <c r="D2" s="27"/>
    </row>
    <row r="4" spans="1:4" ht="23" customHeight="1">
      <c r="A4" s="2" t="s">
        <v>55</v>
      </c>
      <c r="B4" s="2" t="s">
        <v>56</v>
      </c>
      <c r="C4" s="2" t="s">
        <v>57</v>
      </c>
      <c r="D4" s="2" t="s">
        <v>58</v>
      </c>
    </row>
    <row r="5" spans="1:4" ht="23" customHeight="1">
      <c r="A5" t="s">
        <v>59</v>
      </c>
      <c r="B5" s="4">
        <v>1037</v>
      </c>
      <c r="C5" t="s">
        <v>60</v>
      </c>
      <c r="D5" t="s">
        <v>61</v>
      </c>
    </row>
    <row r="6" spans="1:4" ht="23" customHeight="1">
      <c r="A6" t="s">
        <v>62</v>
      </c>
      <c r="B6" s="4">
        <v>1000</v>
      </c>
      <c r="C6" t="s">
        <v>63</v>
      </c>
      <c r="D6" t="s">
        <v>64</v>
      </c>
    </row>
    <row r="7" spans="1:4" ht="23" customHeight="1">
      <c r="A7" t="s">
        <v>65</v>
      </c>
      <c r="B7" s="4">
        <v>30</v>
      </c>
      <c r="C7" t="s">
        <v>66</v>
      </c>
      <c r="D7" t="s">
        <v>67</v>
      </c>
    </row>
    <row r="8" spans="1:4" ht="23" customHeight="1">
      <c r="A8" t="s">
        <v>68</v>
      </c>
      <c r="B8" s="5">
        <v>0.45</v>
      </c>
      <c r="C8" t="s">
        <v>69</v>
      </c>
      <c r="D8" t="s">
        <v>70</v>
      </c>
    </row>
    <row r="9" spans="1:4" ht="23" customHeight="1">
      <c r="A9" t="s">
        <v>71</v>
      </c>
      <c r="B9" s="5">
        <v>0.25</v>
      </c>
      <c r="C9" t="s">
        <v>69</v>
      </c>
      <c r="D9" t="s">
        <v>70</v>
      </c>
    </row>
    <row r="10" spans="1:4" ht="23" customHeight="1">
      <c r="A10" t="s">
        <v>72</v>
      </c>
      <c r="B10" s="5">
        <v>0.3</v>
      </c>
      <c r="C10" t="s">
        <v>69</v>
      </c>
      <c r="D10" t="s">
        <v>70</v>
      </c>
    </row>
    <row r="11" spans="1:4" ht="23" customHeight="1">
      <c r="A11" t="s">
        <v>73</v>
      </c>
      <c r="B11" s="7">
        <f>SUM(EIA_Demand!B5:B16)</f>
        <v>1384490</v>
      </c>
      <c r="C11" t="s">
        <v>74</v>
      </c>
      <c r="D11" t="s">
        <v>75</v>
      </c>
    </row>
    <row r="12" spans="1:4" ht="23" customHeight="1">
      <c r="A12" t="s">
        <v>76</v>
      </c>
      <c r="B12" s="7">
        <f>SUM(EIA_Demand!C5:C16)</f>
        <v>716944</v>
      </c>
      <c r="C12" t="s">
        <v>74</v>
      </c>
      <c r="D12" t="s">
        <v>77</v>
      </c>
    </row>
    <row r="13" spans="1:4" ht="23" customHeight="1">
      <c r="A13" t="s">
        <v>78</v>
      </c>
      <c r="B13" s="7">
        <f>SUM(EIA_Demand!D5:D16)</f>
        <v>1673131</v>
      </c>
      <c r="C13" t="s">
        <v>74</v>
      </c>
      <c r="D13" t="s">
        <v>79</v>
      </c>
    </row>
    <row r="14" spans="1:4" ht="23" customHeight="1">
      <c r="A14" t="s">
        <v>80</v>
      </c>
      <c r="B14" s="8">
        <f>$B$7*$B$6*$B$8/B11</f>
        <v>9.7508829966269171E-3</v>
      </c>
      <c r="C14" t="s">
        <v>69</v>
      </c>
      <c r="D14" t="s">
        <v>81</v>
      </c>
    </row>
    <row r="15" spans="1:4" ht="23" customHeight="1">
      <c r="A15" t="s">
        <v>82</v>
      </c>
      <c r="B15" s="8">
        <f>$B$7*$B$6*$B$9/B12</f>
        <v>1.0461068088999978E-2</v>
      </c>
      <c r="C15" t="s">
        <v>69</v>
      </c>
      <c r="D15" t="s">
        <v>81</v>
      </c>
    </row>
    <row r="16" spans="1:4" ht="23" customHeight="1">
      <c r="A16" t="s">
        <v>83</v>
      </c>
      <c r="B16" s="8">
        <f>$B$7*$B$6*$B$10/B13</f>
        <v>5.3791364812438474E-3</v>
      </c>
      <c r="C16" t="s">
        <v>69</v>
      </c>
      <c r="D16" t="s">
        <v>81</v>
      </c>
    </row>
    <row r="17" spans="1:4" ht="23" customHeight="1">
      <c r="A17" t="s">
        <v>84</v>
      </c>
      <c r="B17" s="6">
        <v>5.0000000000000001E-3</v>
      </c>
      <c r="C17" t="s">
        <v>69</v>
      </c>
      <c r="D17" t="s">
        <v>85</v>
      </c>
    </row>
    <row r="18" spans="1:4" ht="23" customHeight="1">
      <c r="A18" t="s">
        <v>86</v>
      </c>
      <c r="B18" s="6">
        <v>0.01</v>
      </c>
      <c r="C18" t="s">
        <v>69</v>
      </c>
      <c r="D18" t="s">
        <v>87</v>
      </c>
    </row>
    <row r="19" spans="1:4" ht="23" customHeight="1">
      <c r="A19" t="s">
        <v>88</v>
      </c>
      <c r="B19" s="4">
        <v>426326</v>
      </c>
      <c r="C19" t="s">
        <v>89</v>
      </c>
      <c r="D19" t="s">
        <v>90</v>
      </c>
    </row>
    <row r="20" spans="1:4" ht="23" customHeight="1">
      <c r="A20" t="s">
        <v>91</v>
      </c>
      <c r="B20" s="4">
        <v>125198</v>
      </c>
      <c r="C20" t="s">
        <v>89</v>
      </c>
      <c r="D20" t="s">
        <v>90</v>
      </c>
    </row>
    <row r="21" spans="1:4" ht="23" customHeight="1">
      <c r="A21" t="s">
        <v>92</v>
      </c>
      <c r="B21" s="7">
        <f>EIA_Storage_History!C5</f>
        <v>126799</v>
      </c>
      <c r="C21" t="s">
        <v>89</v>
      </c>
      <c r="D21" t="s">
        <v>93</v>
      </c>
    </row>
    <row r="22" spans="1:4" ht="23" customHeight="1">
      <c r="A22" t="s">
        <v>94</v>
      </c>
      <c r="B22" s="7">
        <f>EIA_Storage_History!B5</f>
        <v>42090</v>
      </c>
      <c r="C22" t="s">
        <v>89</v>
      </c>
      <c r="D22" t="s">
        <v>95</v>
      </c>
    </row>
    <row r="23" spans="1:4" ht="23" customHeight="1">
      <c r="A23" t="s">
        <v>96</v>
      </c>
      <c r="B23" s="9">
        <f>B21/B19</f>
        <v>0.29742262963084587</v>
      </c>
      <c r="C23" t="s">
        <v>69</v>
      </c>
      <c r="D23" t="s">
        <v>97</v>
      </c>
    </row>
    <row r="24" spans="1:4" ht="23" customHeight="1">
      <c r="A24" t="s">
        <v>98</v>
      </c>
      <c r="B24" s="9">
        <f>B22/B20</f>
        <v>0.33618747903321139</v>
      </c>
      <c r="C24" t="s">
        <v>69</v>
      </c>
      <c r="D24" t="s">
        <v>99</v>
      </c>
    </row>
    <row r="27" spans="1:4" ht="30" customHeight="1">
      <c r="A27" s="2" t="s">
        <v>100</v>
      </c>
      <c r="B27" s="2" t="s">
        <v>101</v>
      </c>
      <c r="C27" s="2" t="s">
        <v>102</v>
      </c>
      <c r="D27" s="2" t="s">
        <v>103</v>
      </c>
    </row>
    <row r="28" spans="1:4">
      <c r="A28" t="s">
        <v>104</v>
      </c>
      <c r="B28" s="3">
        <f>SUM(B8:B10)</f>
        <v>1</v>
      </c>
      <c r="C28" t="s">
        <v>105</v>
      </c>
      <c r="D28" t="s">
        <v>106</v>
      </c>
    </row>
    <row r="29" spans="1:4">
      <c r="A29" t="s">
        <v>107</v>
      </c>
      <c r="B29" s="21">
        <f>Monthly_Demand_Dth!E17/(B5*B6)</f>
        <v>30</v>
      </c>
      <c r="C29" t="s">
        <v>108</v>
      </c>
      <c r="D29" t="s">
        <v>109</v>
      </c>
    </row>
    <row r="30" spans="1:4">
      <c r="A30" t="s">
        <v>110</v>
      </c>
      <c r="B30" t="b">
        <f>AND(Storage_Inputs!K5&lt;=Storage_Inputs!F5,Storage_Inputs!K6&lt;=Storage_Inputs!F6)</f>
        <v>1</v>
      </c>
      <c r="C30" t="s">
        <v>111</v>
      </c>
      <c r="D30" t="s">
        <v>112</v>
      </c>
    </row>
    <row r="31" spans="1:4">
      <c r="A31" t="s">
        <v>113</v>
      </c>
      <c r="B31" s="10">
        <f>EIA_Demand!B14</f>
        <v>197284</v>
      </c>
      <c r="C31" t="s">
        <v>114</v>
      </c>
      <c r="D31" t="s">
        <v>115</v>
      </c>
    </row>
  </sheetData>
  <mergeCells count="2">
    <mergeCell ref="A1:D1"/>
    <mergeCell ref="A2:D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pane ySplit="4" topLeftCell="A5" activePane="bottomLeft" state="frozen"/>
      <selection pane="bottomLeft" sqref="A1:G1"/>
    </sheetView>
  </sheetViews>
  <sheetFormatPr defaultRowHeight="13.5"/>
  <cols>
    <col min="1" max="1" width="26" customWidth="1"/>
    <col min="2" max="4" width="18" customWidth="1"/>
    <col min="5" max="7" width="31" customWidth="1"/>
  </cols>
  <sheetData>
    <row r="1" spans="1:7" ht="35" customHeight="1">
      <c r="A1" s="26" t="s">
        <v>116</v>
      </c>
      <c r="B1" s="26"/>
      <c r="C1" s="26"/>
      <c r="D1" s="26"/>
      <c r="E1" s="26"/>
      <c r="F1" s="26"/>
      <c r="G1" s="26"/>
    </row>
    <row r="2" spans="1:7" ht="27" customHeight="1">
      <c r="A2" s="27" t="s">
        <v>117</v>
      </c>
      <c r="B2" s="27"/>
      <c r="C2" s="27"/>
      <c r="D2" s="27"/>
      <c r="E2" s="27"/>
      <c r="F2" s="27"/>
      <c r="G2" s="27"/>
    </row>
    <row r="4" spans="1:7" ht="30" customHeight="1">
      <c r="A4" s="2" t="s">
        <v>118</v>
      </c>
      <c r="B4" s="2" t="s">
        <v>119</v>
      </c>
      <c r="C4" s="2" t="s">
        <v>120</v>
      </c>
      <c r="D4" s="2" t="s">
        <v>121</v>
      </c>
      <c r="E4" s="2" t="s">
        <v>122</v>
      </c>
      <c r="F4" s="2" t="s">
        <v>123</v>
      </c>
      <c r="G4" s="2" t="s">
        <v>124</v>
      </c>
    </row>
    <row r="5" spans="1:7">
      <c r="A5" t="s">
        <v>125</v>
      </c>
      <c r="B5" s="10">
        <v>92494</v>
      </c>
      <c r="C5" s="10">
        <v>59515</v>
      </c>
      <c r="D5" s="10">
        <v>117254</v>
      </c>
      <c r="E5" t="s">
        <v>126</v>
      </c>
      <c r="F5" t="s">
        <v>127</v>
      </c>
      <c r="G5" t="s">
        <v>127</v>
      </c>
    </row>
    <row r="6" spans="1:7">
      <c r="A6" s="11" t="s">
        <v>128</v>
      </c>
      <c r="B6" s="12">
        <v>73579</v>
      </c>
      <c r="C6" s="12">
        <v>30077</v>
      </c>
      <c r="D6" s="12">
        <v>116314</v>
      </c>
      <c r="E6" s="11" t="s">
        <v>126</v>
      </c>
      <c r="F6" s="11" t="s">
        <v>127</v>
      </c>
      <c r="G6" s="11" t="s">
        <v>127</v>
      </c>
    </row>
    <row r="7" spans="1:7">
      <c r="A7" t="s">
        <v>129</v>
      </c>
      <c r="B7" s="10">
        <v>82245</v>
      </c>
      <c r="C7" s="10">
        <v>39042</v>
      </c>
      <c r="D7" s="10">
        <v>122264</v>
      </c>
      <c r="E7" t="s">
        <v>126</v>
      </c>
      <c r="F7" t="s">
        <v>127</v>
      </c>
      <c r="G7" t="s">
        <v>127</v>
      </c>
    </row>
    <row r="8" spans="1:7">
      <c r="A8" s="11" t="s">
        <v>130</v>
      </c>
      <c r="B8" s="12">
        <v>99134</v>
      </c>
      <c r="C8" s="13">
        <v>47957</v>
      </c>
      <c r="D8" s="12">
        <v>135432</v>
      </c>
      <c r="E8" s="11" t="s">
        <v>126</v>
      </c>
      <c r="F8" s="14" t="s">
        <v>131</v>
      </c>
      <c r="G8" s="11" t="s">
        <v>127</v>
      </c>
    </row>
    <row r="9" spans="1:7">
      <c r="A9" t="s">
        <v>132</v>
      </c>
      <c r="B9" s="10">
        <v>79099</v>
      </c>
      <c r="C9" s="13">
        <v>38585</v>
      </c>
      <c r="D9" s="10">
        <v>122957</v>
      </c>
      <c r="E9" t="s">
        <v>126</v>
      </c>
      <c r="F9" s="14" t="s">
        <v>131</v>
      </c>
      <c r="G9" t="s">
        <v>127</v>
      </c>
    </row>
    <row r="10" spans="1:7">
      <c r="A10" s="11" t="s">
        <v>133</v>
      </c>
      <c r="B10" s="12">
        <v>68949</v>
      </c>
      <c r="C10" s="12">
        <v>33320</v>
      </c>
      <c r="D10" s="12">
        <v>110663</v>
      </c>
      <c r="E10" s="11" t="s">
        <v>126</v>
      </c>
      <c r="F10" s="11" t="s">
        <v>127</v>
      </c>
      <c r="G10" s="11" t="s">
        <v>127</v>
      </c>
    </row>
    <row r="11" spans="1:7">
      <c r="A11" t="s">
        <v>134</v>
      </c>
      <c r="B11" s="10">
        <v>83014</v>
      </c>
      <c r="C11" s="13">
        <v>42598</v>
      </c>
      <c r="D11" s="10">
        <v>111107</v>
      </c>
      <c r="E11" t="s">
        <v>126</v>
      </c>
      <c r="F11" s="14" t="s">
        <v>131</v>
      </c>
      <c r="G11" t="s">
        <v>127</v>
      </c>
    </row>
    <row r="12" spans="1:7">
      <c r="A12" s="11" t="s">
        <v>135</v>
      </c>
      <c r="B12" s="12">
        <v>124282</v>
      </c>
      <c r="C12" s="12">
        <v>63475</v>
      </c>
      <c r="D12" s="13">
        <v>136195</v>
      </c>
      <c r="E12" s="11" t="s">
        <v>126</v>
      </c>
      <c r="F12" s="11" t="s">
        <v>127</v>
      </c>
      <c r="G12" s="14" t="s">
        <v>131</v>
      </c>
    </row>
    <row r="13" spans="1:7">
      <c r="A13" t="s">
        <v>136</v>
      </c>
      <c r="B13" s="10">
        <v>180965</v>
      </c>
      <c r="C13" s="10">
        <v>93940</v>
      </c>
      <c r="D13" s="13">
        <v>177798</v>
      </c>
      <c r="E13" t="s">
        <v>126</v>
      </c>
      <c r="F13" t="s">
        <v>127</v>
      </c>
      <c r="G13" s="14" t="s">
        <v>131</v>
      </c>
    </row>
    <row r="14" spans="1:7">
      <c r="A14" s="11" t="s">
        <v>137</v>
      </c>
      <c r="B14" s="12">
        <v>197284</v>
      </c>
      <c r="C14" s="12">
        <v>100533</v>
      </c>
      <c r="D14" s="12">
        <v>204213</v>
      </c>
      <c r="E14" s="11" t="s">
        <v>126</v>
      </c>
      <c r="F14" s="11" t="s">
        <v>127</v>
      </c>
      <c r="G14" s="11" t="s">
        <v>127</v>
      </c>
    </row>
    <row r="15" spans="1:7">
      <c r="A15" t="s">
        <v>138</v>
      </c>
      <c r="B15" s="10">
        <v>166897</v>
      </c>
      <c r="C15" s="10">
        <v>101704</v>
      </c>
      <c r="D15" s="10">
        <v>173624</v>
      </c>
      <c r="E15" t="s">
        <v>126</v>
      </c>
      <c r="F15" t="s">
        <v>127</v>
      </c>
      <c r="G15" t="s">
        <v>127</v>
      </c>
    </row>
    <row r="16" spans="1:7">
      <c r="A16" s="11" t="s">
        <v>139</v>
      </c>
      <c r="B16" s="12">
        <v>136548</v>
      </c>
      <c r="C16" s="12">
        <v>66198</v>
      </c>
      <c r="D16" s="12">
        <v>145310</v>
      </c>
      <c r="E16" s="11" t="s">
        <v>126</v>
      </c>
      <c r="F16" s="11" t="s">
        <v>127</v>
      </c>
      <c r="G16" s="11" t="s">
        <v>127</v>
      </c>
    </row>
    <row r="17" spans="1:7">
      <c r="A17" s="1" t="s">
        <v>140</v>
      </c>
      <c r="B17" s="15">
        <f>SUM(B5:B16)</f>
        <v>1384490</v>
      </c>
      <c r="C17" s="15">
        <f>SUM(C5:C16)</f>
        <v>716944</v>
      </c>
      <c r="D17" s="15">
        <f>SUM(D5:D16)</f>
        <v>1673131</v>
      </c>
      <c r="E17" s="1"/>
      <c r="F17" s="1"/>
      <c r="G17" s="1"/>
    </row>
    <row r="19" spans="1:7">
      <c r="A19" s="16" t="s">
        <v>141</v>
      </c>
    </row>
    <row r="20" spans="1:7">
      <c r="A20" s="16" t="s">
        <v>142</v>
      </c>
    </row>
  </sheetData>
  <mergeCells count="2">
    <mergeCell ref="A1:G1"/>
    <mergeCell ref="A2:G2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zoomScale="78" workbookViewId="0">
      <pane ySplit="4" topLeftCell="A5" activePane="bottomLeft" state="frozen"/>
      <selection pane="bottomLeft" sqref="A1:I1"/>
    </sheetView>
  </sheetViews>
  <sheetFormatPr defaultRowHeight="13.5"/>
  <cols>
    <col min="1" max="1" width="24" customWidth="1"/>
    <col min="2" max="5" width="22" customWidth="1"/>
    <col min="6" max="6" width="10" customWidth="1"/>
    <col min="7" max="9" width="21" customWidth="1"/>
  </cols>
  <sheetData>
    <row r="1" spans="1:9" ht="35" customHeight="1">
      <c r="A1" s="26" t="s">
        <v>143</v>
      </c>
      <c r="B1" s="26"/>
      <c r="C1" s="26"/>
      <c r="D1" s="26"/>
      <c r="E1" s="26"/>
      <c r="F1" s="26"/>
      <c r="G1" s="26"/>
      <c r="H1" s="26"/>
      <c r="I1" s="26"/>
    </row>
    <row r="2" spans="1:9" ht="27" customHeight="1">
      <c r="A2" s="27" t="s">
        <v>144</v>
      </c>
      <c r="B2" s="27"/>
      <c r="C2" s="27"/>
      <c r="D2" s="27"/>
      <c r="E2" s="27"/>
      <c r="F2" s="27"/>
      <c r="G2" s="27"/>
      <c r="H2" s="27"/>
      <c r="I2" s="27"/>
    </row>
    <row r="4" spans="1:9" ht="30" customHeight="1">
      <c r="A4" s="2" t="s">
        <v>118</v>
      </c>
      <c r="B4" s="2" t="s">
        <v>145</v>
      </c>
      <c r="C4" s="2" t="s">
        <v>146</v>
      </c>
      <c r="D4" s="2" t="s">
        <v>147</v>
      </c>
      <c r="E4" s="2" t="s">
        <v>148</v>
      </c>
      <c r="F4" s="2" t="s">
        <v>149</v>
      </c>
      <c r="G4" s="2" t="s">
        <v>150</v>
      </c>
      <c r="H4" s="2" t="s">
        <v>151</v>
      </c>
      <c r="I4" s="2" t="s">
        <v>152</v>
      </c>
    </row>
    <row r="5" spans="1:9">
      <c r="A5" t="s">
        <v>125</v>
      </c>
      <c r="B5" s="10">
        <f>EIA_Demand!B5*Model_Inputs!$B$5*Model_Inputs!$B$14</f>
        <v>935268.40424994042</v>
      </c>
      <c r="C5" s="10">
        <f>EIA_Demand!C5*Model_Inputs!$B$5*Model_Inputs!$B$15</f>
        <v>645626.31460755656</v>
      </c>
      <c r="D5" s="10">
        <f>EIA_Demand!D5*Model_Inputs!$B$5*Model_Inputs!$B$16</f>
        <v>654062.10392372147</v>
      </c>
      <c r="E5" s="10">
        <f t="shared" ref="E5:E16" si="0">SUM(B5:D5)</f>
        <v>2234956.8227812182</v>
      </c>
      <c r="F5" s="10">
        <v>30</v>
      </c>
      <c r="G5" s="10">
        <f t="shared" ref="G5:G16" si="1">B5/F5</f>
        <v>31175.613474998016</v>
      </c>
      <c r="H5" s="10">
        <f t="shared" ref="H5:H16" si="2">C5/F5</f>
        <v>21520.877153585217</v>
      </c>
      <c r="I5" s="10">
        <f t="shared" ref="I5:I16" si="3">D5/F5</f>
        <v>21802.070130790715</v>
      </c>
    </row>
    <row r="6" spans="1:9">
      <c r="A6" s="11" t="s">
        <v>128</v>
      </c>
      <c r="B6" s="12">
        <f>EIA_Demand!B6*Model_Inputs!$B$5*Model_Inputs!$B$14</f>
        <v>744006.24814913794</v>
      </c>
      <c r="C6" s="12">
        <f>EIA_Demand!C6*Model_Inputs!$B$5*Model_Inputs!$B$15</f>
        <v>326279.13407462789</v>
      </c>
      <c r="D6" s="12">
        <f>EIA_Demand!D6*Model_Inputs!$B$5*Model_Inputs!$B$16</f>
        <v>648818.62926453457</v>
      </c>
      <c r="E6" s="12">
        <f t="shared" si="0"/>
        <v>1719104.0114883003</v>
      </c>
      <c r="F6" s="12">
        <v>31</v>
      </c>
      <c r="G6" s="12">
        <f t="shared" si="1"/>
        <v>24000.201553198</v>
      </c>
      <c r="H6" s="12">
        <f t="shared" si="2"/>
        <v>10525.133357246061</v>
      </c>
      <c r="I6" s="12">
        <f t="shared" si="3"/>
        <v>20929.633202081761</v>
      </c>
    </row>
    <row r="7" spans="1:9">
      <c r="A7" t="s">
        <v>129</v>
      </c>
      <c r="B7" s="10">
        <f>EIA_Demand!B7*Model_Inputs!$B$5*Model_Inputs!$B$14</f>
        <v>831633.94282371132</v>
      </c>
      <c r="C7" s="10">
        <f>EIA_Demand!C7*Model_Inputs!$B$5*Model_Inputs!$B$15</f>
        <v>423532.59808297444</v>
      </c>
      <c r="D7" s="10">
        <f>EIA_Demand!D7*Model_Inputs!$B$5*Model_Inputs!$B$16</f>
        <v>682008.70822428132</v>
      </c>
      <c r="E7" s="10">
        <f t="shared" si="0"/>
        <v>1937175.2491309671</v>
      </c>
      <c r="F7" s="10">
        <v>30</v>
      </c>
      <c r="G7" s="10">
        <f t="shared" si="1"/>
        <v>27721.131427457043</v>
      </c>
      <c r="H7" s="10">
        <f t="shared" si="2"/>
        <v>14117.753269432482</v>
      </c>
      <c r="I7" s="10">
        <f t="shared" si="3"/>
        <v>22733.623607476045</v>
      </c>
    </row>
    <row r="8" spans="1:9">
      <c r="A8" s="11" t="s">
        <v>130</v>
      </c>
      <c r="B8" s="12">
        <f>EIA_Demand!B8*Model_Inputs!$B$5*Model_Inputs!$B$14</f>
        <v>1002409.8642821545</v>
      </c>
      <c r="C8" s="12">
        <f>EIA_Demand!C8*Model_Inputs!$B$5*Model_Inputs!$B$15</f>
        <v>520243.65571090631</v>
      </c>
      <c r="D8" s="12">
        <f>EIA_Demand!D8*Model_Inputs!$B$5*Model_Inputs!$B$16</f>
        <v>755461.97876914591</v>
      </c>
      <c r="E8" s="12">
        <f t="shared" si="0"/>
        <v>2278115.4987622066</v>
      </c>
      <c r="F8" s="12">
        <v>31</v>
      </c>
      <c r="G8" s="12">
        <f t="shared" si="1"/>
        <v>32335.802073617888</v>
      </c>
      <c r="H8" s="12">
        <f t="shared" si="2"/>
        <v>16782.053410029235</v>
      </c>
      <c r="I8" s="12">
        <f t="shared" si="3"/>
        <v>24369.741250617612</v>
      </c>
    </row>
    <row r="9" spans="1:9">
      <c r="A9" t="s">
        <v>132</v>
      </c>
      <c r="B9" s="10">
        <f>EIA_Demand!B9*Model_Inputs!$B$5*Model_Inputs!$B$14</f>
        <v>799822.64263374964</v>
      </c>
      <c r="C9" s="10">
        <f>EIA_Demand!C9*Model_Inputs!$B$5*Model_Inputs!$B$15</f>
        <v>418575.0037659845</v>
      </c>
      <c r="D9" s="10">
        <f>EIA_Demand!D9*Model_Inputs!$B$5*Model_Inputs!$B$16</f>
        <v>685874.37624429888</v>
      </c>
      <c r="E9" s="10">
        <f t="shared" si="0"/>
        <v>1904272.022644033</v>
      </c>
      <c r="F9" s="10">
        <v>31</v>
      </c>
      <c r="G9" s="10">
        <f t="shared" si="1"/>
        <v>25800.730407540312</v>
      </c>
      <c r="H9" s="10">
        <f t="shared" si="2"/>
        <v>13502.41947632208</v>
      </c>
      <c r="I9" s="10">
        <f t="shared" si="3"/>
        <v>22124.979878848349</v>
      </c>
    </row>
    <row r="10" spans="1:9">
      <c r="A10" s="11" t="s">
        <v>133</v>
      </c>
      <c r="B10" s="12">
        <f>EIA_Demand!B10*Model_Inputs!$B$5*Model_Inputs!$B$14</f>
        <v>697189.23610860319</v>
      </c>
      <c r="C10" s="12">
        <f>EIA_Demand!C10*Model_Inputs!$B$5*Model_Inputs!$B$15</f>
        <v>361459.61190832203</v>
      </c>
      <c r="D10" s="12">
        <f>EIA_Demand!D10*Model_Inputs!$B$5*Model_Inputs!$B$16</f>
        <v>617296.42149957176</v>
      </c>
      <c r="E10" s="12">
        <f t="shared" si="0"/>
        <v>1675945.2695164969</v>
      </c>
      <c r="F10" s="12">
        <v>30</v>
      </c>
      <c r="G10" s="12">
        <f t="shared" si="1"/>
        <v>23239.641203620107</v>
      </c>
      <c r="H10" s="12">
        <f t="shared" si="2"/>
        <v>12048.653730277401</v>
      </c>
      <c r="I10" s="12">
        <f t="shared" si="3"/>
        <v>20576.547383319059</v>
      </c>
    </row>
    <row r="11" spans="1:9">
      <c r="A11" t="s">
        <v>134</v>
      </c>
      <c r="B11" s="10">
        <f>EIA_Demand!B11*Model_Inputs!$B$5*Model_Inputs!$B$14</f>
        <v>839409.81372202036</v>
      </c>
      <c r="C11" s="10">
        <f>EIA_Demand!C11*Model_Inputs!$B$5*Model_Inputs!$B$15</f>
        <v>462108.53985806426</v>
      </c>
      <c r="D11" s="10">
        <f>EIA_Demand!D11*Model_Inputs!$B$5*Model_Inputs!$B$16</f>
        <v>619773.12655135791</v>
      </c>
      <c r="E11" s="10">
        <f t="shared" si="0"/>
        <v>1921291.4801314427</v>
      </c>
      <c r="F11" s="10">
        <v>31</v>
      </c>
      <c r="G11" s="10">
        <f t="shared" si="1"/>
        <v>27077.735926516787</v>
      </c>
      <c r="H11" s="10">
        <f t="shared" si="2"/>
        <v>14906.727092195621</v>
      </c>
      <c r="I11" s="10">
        <f t="shared" si="3"/>
        <v>19992.681501656705</v>
      </c>
    </row>
    <row r="12" spans="1:9">
      <c r="A12" s="11" t="s">
        <v>135</v>
      </c>
      <c r="B12" s="12">
        <f>EIA_Demand!B12*Model_Inputs!$B$5*Model_Inputs!$B$14</f>
        <v>1256698.0324884977</v>
      </c>
      <c r="C12" s="12">
        <f>EIA_Demand!C12*Model_Inputs!$B$5*Model_Inputs!$B$15</f>
        <v>688584.89993639675</v>
      </c>
      <c r="D12" s="12">
        <f>EIA_Demand!D12*Model_Inputs!$B$5*Model_Inputs!$B$16</f>
        <v>759718.11830633704</v>
      </c>
      <c r="E12" s="12">
        <f t="shared" si="0"/>
        <v>2705001.0507312315</v>
      </c>
      <c r="F12" s="12">
        <v>30</v>
      </c>
      <c r="G12" s="12">
        <f t="shared" si="1"/>
        <v>41889.934416283257</v>
      </c>
      <c r="H12" s="12">
        <f t="shared" si="2"/>
        <v>22952.829997879893</v>
      </c>
      <c r="I12" s="12">
        <f t="shared" si="3"/>
        <v>25323.937276877903</v>
      </c>
    </row>
    <row r="13" spans="1:9">
      <c r="A13" t="s">
        <v>136</v>
      </c>
      <c r="B13" s="10">
        <f>EIA_Demand!B13*Model_Inputs!$B$5*Model_Inputs!$B$14</f>
        <v>1829857.57751952</v>
      </c>
      <c r="C13" s="10">
        <f>EIA_Demand!C13*Model_Inputs!$B$5*Model_Inputs!$B$15</f>
        <v>1019073.1075230422</v>
      </c>
      <c r="D13" s="10">
        <f>EIA_Demand!D13*Model_Inputs!$B$5*Model_Inputs!$B$16</f>
        <v>991786.49729160476</v>
      </c>
      <c r="E13" s="10">
        <f t="shared" si="0"/>
        <v>3840717.182334167</v>
      </c>
      <c r="F13" s="10">
        <v>31</v>
      </c>
      <c r="G13" s="10">
        <f t="shared" si="1"/>
        <v>59027.663790952254</v>
      </c>
      <c r="H13" s="10">
        <f t="shared" si="2"/>
        <v>32873.326049130395</v>
      </c>
      <c r="I13" s="10">
        <f t="shared" si="3"/>
        <v>31993.112815858218</v>
      </c>
    </row>
    <row r="14" spans="1:9">
      <c r="A14" s="11" t="s">
        <v>137</v>
      </c>
      <c r="B14" s="12">
        <f>EIA_Demand!B14*Model_Inputs!$B$5*Model_Inputs!$B$14</f>
        <v>1994869.8495474868</v>
      </c>
      <c r="C14" s="12">
        <f>EIA_Demand!C14*Model_Inputs!$B$5*Model_Inputs!$B$15</f>
        <v>1090594.8128445179</v>
      </c>
      <c r="D14" s="12">
        <f>EIA_Demand!D14*Model_Inputs!$B$5*Model_Inputs!$B$16</f>
        <v>1139133.7133792869</v>
      </c>
      <c r="E14" s="12">
        <f t="shared" si="0"/>
        <v>4224598.3757712916</v>
      </c>
      <c r="F14" s="12">
        <v>31</v>
      </c>
      <c r="G14" s="12">
        <f t="shared" si="1"/>
        <v>64350.640307983442</v>
      </c>
      <c r="H14" s="12">
        <f t="shared" si="2"/>
        <v>35180.477833694124</v>
      </c>
      <c r="I14" s="12">
        <f t="shared" si="3"/>
        <v>36746.248818686676</v>
      </c>
    </row>
    <row r="15" spans="1:9">
      <c r="A15" t="s">
        <v>138</v>
      </c>
      <c r="B15" s="10">
        <f>EIA_Demand!B15*Model_Inputs!$B$5*Model_Inputs!$B$14</f>
        <v>1687606.6649091002</v>
      </c>
      <c r="C15" s="10">
        <f>EIA_Demand!C15*Model_Inputs!$B$5*Model_Inputs!$B$15</f>
        <v>1103297.9702738291</v>
      </c>
      <c r="D15" s="10">
        <f>EIA_Demand!D15*Model_Inputs!$B$5*Model_Inputs!$B$16</f>
        <v>968503.2385390026</v>
      </c>
      <c r="E15" s="10">
        <f t="shared" si="0"/>
        <v>3759407.8737219321</v>
      </c>
      <c r="F15" s="10">
        <v>28</v>
      </c>
      <c r="G15" s="10">
        <f t="shared" si="1"/>
        <v>60271.666603896432</v>
      </c>
      <c r="H15" s="10">
        <f t="shared" si="2"/>
        <v>39403.49893835104</v>
      </c>
      <c r="I15" s="10">
        <f t="shared" si="3"/>
        <v>34589.401376392947</v>
      </c>
    </row>
    <row r="16" spans="1:9">
      <c r="A16" s="11" t="s">
        <v>139</v>
      </c>
      <c r="B16" s="12">
        <f>EIA_Demand!B16*Model_Inputs!$B$5*Model_Inputs!$B$14</f>
        <v>1380727.7235660786</v>
      </c>
      <c r="C16" s="12">
        <f>EIA_Demand!C16*Model_Inputs!$B$5*Model_Inputs!$B$15</f>
        <v>718124.3514137785</v>
      </c>
      <c r="D16" s="12">
        <f>EIA_Demand!D16*Model_Inputs!$B$5*Model_Inputs!$B$16</f>
        <v>810563.08800685662</v>
      </c>
      <c r="E16" s="12">
        <f t="shared" si="0"/>
        <v>2909415.1629867135</v>
      </c>
      <c r="F16" s="12">
        <v>31</v>
      </c>
      <c r="G16" s="12">
        <f t="shared" si="1"/>
        <v>44539.603986002534</v>
      </c>
      <c r="H16" s="12">
        <f t="shared" si="2"/>
        <v>23165.301658508983</v>
      </c>
      <c r="I16" s="12">
        <f t="shared" si="3"/>
        <v>26147.196387317956</v>
      </c>
    </row>
    <row r="17" spans="1:9" ht="26" customHeight="1">
      <c r="A17" s="17" t="s">
        <v>153</v>
      </c>
      <c r="B17" s="18">
        <f>SUM(B5:B16)</f>
        <v>13999500</v>
      </c>
      <c r="C17" s="18">
        <f>SUM(C5:C16)</f>
        <v>7777500</v>
      </c>
      <c r="D17" s="18">
        <f>SUM(D5:D16)</f>
        <v>9333000</v>
      </c>
      <c r="E17" s="18">
        <f>SUM(E5:E16)</f>
        <v>31110000</v>
      </c>
      <c r="F17" s="18">
        <f>SUM(F5:F16)</f>
        <v>365</v>
      </c>
      <c r="G17" s="18"/>
      <c r="H17" s="18"/>
      <c r="I17" s="18"/>
    </row>
    <row r="19" spans="1:9">
      <c r="A19" s="16" t="s">
        <v>154</v>
      </c>
    </row>
  </sheetData>
  <mergeCells count="2">
    <mergeCell ref="A1:I1"/>
    <mergeCell ref="A2:I2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workbookViewId="0">
      <pane ySplit="4" topLeftCell="A5" activePane="bottomLeft" state="frozen"/>
      <selection pane="bottomLeft" sqref="A1:K1"/>
    </sheetView>
  </sheetViews>
  <sheetFormatPr defaultRowHeight="13.5"/>
  <cols>
    <col min="1" max="1" width="22" customWidth="1"/>
    <col min="2" max="11" width="19" customWidth="1"/>
  </cols>
  <sheetData>
    <row r="1" spans="1:11" ht="35" customHeight="1">
      <c r="A1" s="26" t="s">
        <v>155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27" customHeight="1">
      <c r="A2" s="27" t="s">
        <v>156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48" customHeight="1">
      <c r="A4" s="2" t="s">
        <v>157</v>
      </c>
      <c r="B4" s="2" t="s">
        <v>158</v>
      </c>
      <c r="C4" s="2" t="s">
        <v>159</v>
      </c>
      <c r="D4" s="2" t="s">
        <v>160</v>
      </c>
      <c r="E4" s="2" t="s">
        <v>161</v>
      </c>
      <c r="F4" s="2" t="s">
        <v>162</v>
      </c>
      <c r="G4" s="2" t="s">
        <v>163</v>
      </c>
      <c r="H4" s="2" t="s">
        <v>164</v>
      </c>
      <c r="I4" s="2" t="s">
        <v>165</v>
      </c>
      <c r="J4" s="2" t="s">
        <v>166</v>
      </c>
      <c r="K4" s="2" t="s">
        <v>167</v>
      </c>
    </row>
    <row r="5" spans="1:11">
      <c r="A5" t="s">
        <v>168</v>
      </c>
      <c r="B5" s="10">
        <f>Model_Inputs!B19</f>
        <v>426326</v>
      </c>
      <c r="C5" s="3">
        <f>Model_Inputs!B17</f>
        <v>5.0000000000000001E-3</v>
      </c>
      <c r="D5" s="19">
        <f>B5*C5</f>
        <v>2131.63</v>
      </c>
      <c r="E5" s="21">
        <f>D5/Model_Inputs!$B$6</f>
        <v>2.1316299999999999</v>
      </c>
      <c r="F5" s="10">
        <f>D5*Model_Inputs!$B$5</f>
        <v>2210500.31</v>
      </c>
      <c r="G5" s="10">
        <f>Model_Inputs!B21</f>
        <v>126799</v>
      </c>
      <c r="H5" s="3">
        <f>Model_Inputs!B23</f>
        <v>0.29742262963084587</v>
      </c>
      <c r="I5" s="19">
        <f>D5*H5</f>
        <v>633.995</v>
      </c>
      <c r="J5" s="21">
        <f>I5/Model_Inputs!$B$6</f>
        <v>0.63399499999999998</v>
      </c>
      <c r="K5" s="10">
        <f>I5*Model_Inputs!$B$5</f>
        <v>657452.81500000006</v>
      </c>
    </row>
    <row r="6" spans="1:11">
      <c r="A6" s="11" t="s">
        <v>169</v>
      </c>
      <c r="B6" s="12">
        <f>Model_Inputs!B20</f>
        <v>125198</v>
      </c>
      <c r="C6" s="23">
        <f>Model_Inputs!B18</f>
        <v>0.01</v>
      </c>
      <c r="D6" s="24">
        <f>B6*C6</f>
        <v>1251.98</v>
      </c>
      <c r="E6" s="25">
        <f>D6/Model_Inputs!$B$6</f>
        <v>1.2519800000000001</v>
      </c>
      <c r="F6" s="12">
        <f>D6*Model_Inputs!$B$5</f>
        <v>1298303.26</v>
      </c>
      <c r="G6" s="12">
        <f>Model_Inputs!B22</f>
        <v>42090</v>
      </c>
      <c r="H6" s="23">
        <f>Model_Inputs!B24</f>
        <v>0.33618747903321139</v>
      </c>
      <c r="I6" s="24">
        <f>D6*H6</f>
        <v>420.9</v>
      </c>
      <c r="J6" s="25">
        <f>I6/Model_Inputs!$B$6</f>
        <v>0.4209</v>
      </c>
      <c r="K6" s="12">
        <f>I6*Model_Inputs!$B$5</f>
        <v>436473.3</v>
      </c>
    </row>
    <row r="7" spans="1:11" ht="27" customHeight="1">
      <c r="A7" s="17" t="s">
        <v>170</v>
      </c>
      <c r="B7" s="17"/>
      <c r="C7" s="17"/>
      <c r="D7" s="20">
        <f>SUM(D5:D6)</f>
        <v>3383.61</v>
      </c>
      <c r="E7" s="22">
        <f>SUM(E5:E6)</f>
        <v>3.38361</v>
      </c>
      <c r="F7" s="18">
        <f>SUM(F5:F6)</f>
        <v>3508803.5700000003</v>
      </c>
      <c r="G7" s="17"/>
      <c r="H7" s="17"/>
      <c r="I7" s="20">
        <f>SUM(I5:I6)</f>
        <v>1054.895</v>
      </c>
      <c r="J7" s="22">
        <f>SUM(J5:J6)</f>
        <v>1.0548949999999999</v>
      </c>
      <c r="K7" s="18">
        <f>SUM(K5:K6)</f>
        <v>1093926.115</v>
      </c>
    </row>
    <row r="10" spans="1:11">
      <c r="A10" t="s">
        <v>171</v>
      </c>
      <c r="B10" t="s">
        <v>172</v>
      </c>
    </row>
    <row r="11" spans="1:11">
      <c r="A11" t="s">
        <v>173</v>
      </c>
      <c r="B11" t="s">
        <v>174</v>
      </c>
    </row>
    <row r="12" spans="1:11">
      <c r="A12" t="s">
        <v>175</v>
      </c>
      <c r="B12" t="s">
        <v>176</v>
      </c>
    </row>
    <row r="13" spans="1:11">
      <c r="A13" t="s">
        <v>177</v>
      </c>
      <c r="B13" t="s">
        <v>178</v>
      </c>
    </row>
  </sheetData>
  <mergeCells count="2">
    <mergeCell ref="A1:K1"/>
    <mergeCell ref="A2:K2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pane ySplit="4" topLeftCell="A5" activePane="bottomLeft" state="frozen"/>
      <selection pane="bottomLeft" sqref="A1:E1"/>
    </sheetView>
  </sheetViews>
  <sheetFormatPr defaultRowHeight="13.5"/>
  <cols>
    <col min="1" max="1" width="18" customWidth="1"/>
    <col min="2" max="5" width="28" customWidth="1"/>
  </cols>
  <sheetData>
    <row r="1" spans="1:5" ht="35" customHeight="1">
      <c r="A1" s="26" t="s">
        <v>179</v>
      </c>
      <c r="B1" s="26"/>
      <c r="C1" s="26"/>
      <c r="D1" s="26"/>
      <c r="E1" s="26"/>
    </row>
    <row r="2" spans="1:5" ht="27" customHeight="1">
      <c r="A2" s="27" t="s">
        <v>180</v>
      </c>
      <c r="B2" s="27"/>
      <c r="C2" s="27"/>
      <c r="D2" s="27"/>
      <c r="E2" s="27"/>
    </row>
    <row r="4" spans="1:5" ht="30" customHeight="1">
      <c r="A4" s="2" t="s">
        <v>118</v>
      </c>
      <c r="B4" s="2" t="s">
        <v>181</v>
      </c>
      <c r="C4" s="2" t="s">
        <v>182</v>
      </c>
      <c r="D4" s="2" t="s">
        <v>183</v>
      </c>
      <c r="E4" s="2" t="s">
        <v>184</v>
      </c>
    </row>
    <row r="5" spans="1:5">
      <c r="A5" s="14" t="s">
        <v>185</v>
      </c>
      <c r="B5" s="13">
        <v>42090</v>
      </c>
      <c r="C5" s="13">
        <v>126799</v>
      </c>
      <c r="D5" s="13">
        <f>B5*Model_Inputs!$B$5</f>
        <v>43647330</v>
      </c>
      <c r="E5" s="13">
        <f>C5*Model_Inputs!$B$5</f>
        <v>131490563</v>
      </c>
    </row>
    <row r="6" spans="1:5">
      <c r="A6" s="11" t="s">
        <v>125</v>
      </c>
      <c r="B6" s="12">
        <v>48830</v>
      </c>
      <c r="C6" s="12">
        <v>156008</v>
      </c>
      <c r="D6" s="12">
        <f>B6*Model_Inputs!$B$5</f>
        <v>50636710</v>
      </c>
      <c r="E6" s="12">
        <f>C6*Model_Inputs!$B$5</f>
        <v>161780296</v>
      </c>
    </row>
    <row r="7" spans="1:5">
      <c r="A7" t="s">
        <v>128</v>
      </c>
      <c r="B7" s="10">
        <v>62910</v>
      </c>
      <c r="C7" s="10">
        <v>216963</v>
      </c>
      <c r="D7" s="10">
        <f>B7*Model_Inputs!$B$5</f>
        <v>65237670</v>
      </c>
      <c r="E7" s="10">
        <f>C7*Model_Inputs!$B$5</f>
        <v>224990631</v>
      </c>
    </row>
    <row r="8" spans="1:5">
      <c r="A8" s="11" t="s">
        <v>129</v>
      </c>
      <c r="B8" s="12">
        <v>72481</v>
      </c>
      <c r="C8" s="12">
        <v>259612</v>
      </c>
      <c r="D8" s="12">
        <f>B8*Model_Inputs!$B$5</f>
        <v>75162797</v>
      </c>
      <c r="E8" s="12">
        <f>C8*Model_Inputs!$B$5</f>
        <v>269217644</v>
      </c>
    </row>
    <row r="9" spans="1:5">
      <c r="A9" t="s">
        <v>130</v>
      </c>
      <c r="B9" s="10">
        <v>74867</v>
      </c>
      <c r="C9" s="10">
        <v>267889</v>
      </c>
      <c r="D9" s="10">
        <f>B9*Model_Inputs!$B$5</f>
        <v>77637079</v>
      </c>
      <c r="E9" s="10">
        <f>C9*Model_Inputs!$B$5</f>
        <v>277800893</v>
      </c>
    </row>
    <row r="10" spans="1:5">
      <c r="A10" s="11" t="s">
        <v>132</v>
      </c>
      <c r="B10" s="12">
        <v>81946</v>
      </c>
      <c r="C10" s="12">
        <v>300183</v>
      </c>
      <c r="D10" s="12">
        <f>B10*Model_Inputs!$B$5</f>
        <v>84978002</v>
      </c>
      <c r="E10" s="12">
        <f>C10*Model_Inputs!$B$5</f>
        <v>311289771</v>
      </c>
    </row>
    <row r="11" spans="1:5">
      <c r="A11" t="s">
        <v>133</v>
      </c>
      <c r="B11" s="10">
        <v>92431</v>
      </c>
      <c r="C11" s="10">
        <v>344623</v>
      </c>
      <c r="D11" s="10">
        <f>B11*Model_Inputs!$B$5</f>
        <v>95850947</v>
      </c>
      <c r="E11" s="10">
        <f>C11*Model_Inputs!$B$5</f>
        <v>357374051</v>
      </c>
    </row>
    <row r="12" spans="1:5">
      <c r="A12" s="11" t="s">
        <v>134</v>
      </c>
      <c r="B12" s="12">
        <v>101867</v>
      </c>
      <c r="C12" s="12">
        <v>374578</v>
      </c>
      <c r="D12" s="12">
        <f>B12*Model_Inputs!$B$5</f>
        <v>105636079</v>
      </c>
      <c r="E12" s="12">
        <f>C12*Model_Inputs!$B$5</f>
        <v>388437386</v>
      </c>
    </row>
    <row r="13" spans="1:5">
      <c r="A13" t="s">
        <v>135</v>
      </c>
      <c r="B13" s="10">
        <v>100339</v>
      </c>
      <c r="C13" s="10">
        <v>369870</v>
      </c>
      <c r="D13" s="10">
        <f>B13*Model_Inputs!$B$5</f>
        <v>104051543</v>
      </c>
      <c r="E13" s="10">
        <f>C13*Model_Inputs!$B$5</f>
        <v>383555190</v>
      </c>
    </row>
    <row r="14" spans="1:5">
      <c r="A14" s="11" t="s">
        <v>136</v>
      </c>
      <c r="B14" s="12">
        <v>84528</v>
      </c>
      <c r="C14" s="12">
        <v>303400</v>
      </c>
      <c r="D14" s="12">
        <f>B14*Model_Inputs!$B$5</f>
        <v>87655536</v>
      </c>
      <c r="E14" s="12">
        <f>C14*Model_Inputs!$B$5</f>
        <v>314625800</v>
      </c>
    </row>
    <row r="15" spans="1:5">
      <c r="A15" t="s">
        <v>137</v>
      </c>
      <c r="B15" s="10">
        <v>62451</v>
      </c>
      <c r="C15" s="10">
        <v>204830</v>
      </c>
      <c r="D15" s="10">
        <f>B15*Model_Inputs!$B$5</f>
        <v>64761687</v>
      </c>
      <c r="E15" s="10">
        <f>C15*Model_Inputs!$B$5</f>
        <v>212408710</v>
      </c>
    </row>
    <row r="16" spans="1:5">
      <c r="A16" s="11" t="s">
        <v>138</v>
      </c>
      <c r="B16" s="12">
        <v>44490</v>
      </c>
      <c r="C16" s="12">
        <v>132260</v>
      </c>
      <c r="D16" s="12">
        <f>B16*Model_Inputs!$B$5</f>
        <v>46136130</v>
      </c>
      <c r="E16" s="12">
        <f>C16*Model_Inputs!$B$5</f>
        <v>137153620</v>
      </c>
    </row>
    <row r="17" spans="1:5">
      <c r="A17" t="s">
        <v>139</v>
      </c>
      <c r="B17" s="10">
        <v>34857</v>
      </c>
      <c r="C17" s="10">
        <v>129397</v>
      </c>
      <c r="D17" s="10">
        <f>B17*Model_Inputs!$B$5</f>
        <v>36146709</v>
      </c>
      <c r="E17" s="10">
        <f>C17*Model_Inputs!$B$5</f>
        <v>134184689</v>
      </c>
    </row>
    <row r="19" spans="1:5">
      <c r="A19" s="16" t="s">
        <v>186</v>
      </c>
    </row>
    <row r="20" spans="1:5">
      <c r="A20" s="16" t="s">
        <v>187</v>
      </c>
    </row>
  </sheetData>
  <mergeCells count="2">
    <mergeCell ref="A1:E1"/>
    <mergeCell ref="A2:E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2"/>
  <sheetViews>
    <sheetView tabSelected="1" workbookViewId="0">
      <pane ySplit="4" topLeftCell="A5" activePane="bottomLeft" state="frozen"/>
      <selection pane="bottomLeft" activeCell="C18" sqref="C18"/>
    </sheetView>
  </sheetViews>
  <sheetFormatPr defaultRowHeight="13.5"/>
  <cols>
    <col min="1" max="1" width="22" customWidth="1"/>
    <col min="2" max="4" width="25" customWidth="1"/>
  </cols>
  <sheetData>
    <row r="1" spans="1:4" ht="35" customHeight="1">
      <c r="A1" s="26" t="s">
        <v>188</v>
      </c>
      <c r="B1" s="26"/>
      <c r="C1" s="26"/>
      <c r="D1" s="26"/>
    </row>
    <row r="2" spans="1:4" ht="27" customHeight="1">
      <c r="A2" s="27" t="s">
        <v>189</v>
      </c>
      <c r="B2" s="27"/>
      <c r="C2" s="27"/>
      <c r="D2" s="27"/>
    </row>
    <row r="4" spans="1:4" ht="30" customHeight="1">
      <c r="A4" s="2" t="s">
        <v>190</v>
      </c>
      <c r="B4" s="2" t="s">
        <v>191</v>
      </c>
      <c r="C4" s="2" t="s">
        <v>192</v>
      </c>
      <c r="D4" s="2" t="s">
        <v>193</v>
      </c>
    </row>
    <row r="5" spans="1:4">
      <c r="A5" t="str">
        <f>Monthly_Demand_Dth!A5</f>
        <v>2025-04</v>
      </c>
      <c r="B5" s="10">
        <f>Monthly_Demand_Dth!B5</f>
        <v>935268.40424994042</v>
      </c>
      <c r="C5" s="10">
        <f>Monthly_Demand_Dth!C5</f>
        <v>645626.31460755656</v>
      </c>
      <c r="D5" s="10">
        <f>Monthly_Demand_Dth!D5</f>
        <v>654062.10392372147</v>
      </c>
    </row>
    <row r="6" spans="1:4">
      <c r="A6" s="11" t="str">
        <f>Monthly_Demand_Dth!A6</f>
        <v>2025-05</v>
      </c>
      <c r="B6" s="12">
        <f>Monthly_Demand_Dth!B6</f>
        <v>744006.24814913794</v>
      </c>
      <c r="C6" s="12">
        <f>Monthly_Demand_Dth!C6</f>
        <v>326279.13407462789</v>
      </c>
      <c r="D6" s="12">
        <f>Monthly_Demand_Dth!D6</f>
        <v>648818.62926453457</v>
      </c>
    </row>
    <row r="7" spans="1:4">
      <c r="A7" t="str">
        <f>Monthly_Demand_Dth!A7</f>
        <v>2025-06</v>
      </c>
      <c r="B7" s="10">
        <f>Monthly_Demand_Dth!B7</f>
        <v>831633.94282371132</v>
      </c>
      <c r="C7" s="10">
        <f>Monthly_Demand_Dth!C7</f>
        <v>423532.59808297444</v>
      </c>
      <c r="D7" s="10">
        <f>Monthly_Demand_Dth!D7</f>
        <v>682008.70822428132</v>
      </c>
    </row>
    <row r="8" spans="1:4">
      <c r="A8" s="11" t="str">
        <f>Monthly_Demand_Dth!A8</f>
        <v>2025-07</v>
      </c>
      <c r="B8" s="12">
        <f>Monthly_Demand_Dth!B8</f>
        <v>1002409.8642821545</v>
      </c>
      <c r="C8" s="12">
        <f>Monthly_Demand_Dth!C8</f>
        <v>520243.65571090631</v>
      </c>
      <c r="D8" s="12">
        <f>Monthly_Demand_Dth!D8</f>
        <v>755461.97876914591</v>
      </c>
    </row>
    <row r="9" spans="1:4">
      <c r="A9" t="str">
        <f>Monthly_Demand_Dth!A9</f>
        <v>2025-08</v>
      </c>
      <c r="B9" s="10">
        <f>Monthly_Demand_Dth!B9</f>
        <v>799822.64263374964</v>
      </c>
      <c r="C9" s="10">
        <f>Monthly_Demand_Dth!C9</f>
        <v>418575.0037659845</v>
      </c>
      <c r="D9" s="10">
        <f>Monthly_Demand_Dth!D9</f>
        <v>685874.37624429888</v>
      </c>
    </row>
    <row r="10" spans="1:4">
      <c r="A10" s="11" t="str">
        <f>Monthly_Demand_Dth!A10</f>
        <v>2025-09</v>
      </c>
      <c r="B10" s="12">
        <f>Monthly_Demand_Dth!B10</f>
        <v>697189.23610860319</v>
      </c>
      <c r="C10" s="12">
        <f>Monthly_Demand_Dth!C10</f>
        <v>361459.61190832203</v>
      </c>
      <c r="D10" s="12">
        <f>Monthly_Demand_Dth!D10</f>
        <v>617296.42149957176</v>
      </c>
    </row>
    <row r="11" spans="1:4">
      <c r="A11" t="str">
        <f>Monthly_Demand_Dth!A11</f>
        <v>2025-10</v>
      </c>
      <c r="B11" s="10">
        <f>Monthly_Demand_Dth!B11</f>
        <v>839409.81372202036</v>
      </c>
      <c r="C11" s="10">
        <f>Monthly_Demand_Dth!C11</f>
        <v>462108.53985806426</v>
      </c>
      <c r="D11" s="10">
        <f>Monthly_Demand_Dth!D11</f>
        <v>619773.12655135791</v>
      </c>
    </row>
    <row r="12" spans="1:4">
      <c r="A12" s="11" t="str">
        <f>Monthly_Demand_Dth!A12</f>
        <v>2025-11</v>
      </c>
      <c r="B12" s="12">
        <f>Monthly_Demand_Dth!B12</f>
        <v>1256698.0324884977</v>
      </c>
      <c r="C12" s="12">
        <f>Monthly_Demand_Dth!C12</f>
        <v>688584.89993639675</v>
      </c>
      <c r="D12" s="12">
        <f>Monthly_Demand_Dth!D12</f>
        <v>759718.11830633704</v>
      </c>
    </row>
    <row r="13" spans="1:4">
      <c r="A13" t="str">
        <f>Monthly_Demand_Dth!A13</f>
        <v>2025-12</v>
      </c>
      <c r="B13" s="10">
        <f>Monthly_Demand_Dth!B13</f>
        <v>1829857.57751952</v>
      </c>
      <c r="C13" s="10">
        <f>Monthly_Demand_Dth!C13</f>
        <v>1019073.1075230422</v>
      </c>
      <c r="D13" s="10">
        <f>Monthly_Demand_Dth!D13</f>
        <v>991786.49729160476</v>
      </c>
    </row>
    <row r="14" spans="1:4">
      <c r="A14" s="11" t="str">
        <f>Monthly_Demand_Dth!A14</f>
        <v>2026-01</v>
      </c>
      <c r="B14" s="12">
        <f>Monthly_Demand_Dth!B14</f>
        <v>1994869.8495474868</v>
      </c>
      <c r="C14" s="12">
        <f>Monthly_Demand_Dth!C14</f>
        <v>1090594.8128445179</v>
      </c>
      <c r="D14" s="12">
        <f>Monthly_Demand_Dth!D14</f>
        <v>1139133.7133792869</v>
      </c>
    </row>
    <row r="15" spans="1:4">
      <c r="A15" t="str">
        <f>Monthly_Demand_Dth!A15</f>
        <v>2026-02</v>
      </c>
      <c r="B15" s="10">
        <f>Monthly_Demand_Dth!B15</f>
        <v>1687606.6649091002</v>
      </c>
      <c r="C15" s="10">
        <f>Monthly_Demand_Dth!C15</f>
        <v>1103297.9702738291</v>
      </c>
      <c r="D15" s="10">
        <f>Monthly_Demand_Dth!D15</f>
        <v>968503.2385390026</v>
      </c>
    </row>
    <row r="16" spans="1:4">
      <c r="A16" s="11" t="str">
        <f>Monthly_Demand_Dth!A16</f>
        <v>2026-03</v>
      </c>
      <c r="B16" s="12">
        <f>Monthly_Demand_Dth!B16</f>
        <v>1380727.7235660786</v>
      </c>
      <c r="C16" s="12">
        <f>Monthly_Demand_Dth!C16</f>
        <v>718124.3514137785</v>
      </c>
      <c r="D16" s="12">
        <f>Monthly_Demand_Dth!D16</f>
        <v>810563.08800685662</v>
      </c>
    </row>
    <row r="18" spans="1:4" ht="30" customHeight="1">
      <c r="A18" s="2" t="s">
        <v>157</v>
      </c>
      <c r="B18" s="2" t="s">
        <v>196</v>
      </c>
      <c r="C18" s="2" t="s">
        <v>197</v>
      </c>
      <c r="D18" s="2" t="s">
        <v>194</v>
      </c>
    </row>
    <row r="19" spans="1:4">
      <c r="A19" t="str">
        <f>Storage_Inputs!A5</f>
        <v>PA Hub</v>
      </c>
      <c r="B19" s="10">
        <f>Storage_Inputs!F5</f>
        <v>2210500.31</v>
      </c>
      <c r="C19" s="10">
        <f>Storage_Inputs!K5</f>
        <v>657452.81500000006</v>
      </c>
      <c r="D19" s="3">
        <f>Storage_Inputs!H5</f>
        <v>0.29742262963084587</v>
      </c>
    </row>
    <row r="20" spans="1:4">
      <c r="A20" t="str">
        <f>Storage_Inputs!A6</f>
        <v>NY Market</v>
      </c>
      <c r="B20" s="10">
        <f>Storage_Inputs!F6</f>
        <v>1298303.26</v>
      </c>
      <c r="C20" s="10">
        <f>Storage_Inputs!K6</f>
        <v>436473.3</v>
      </c>
      <c r="D20" s="3">
        <f>Storage_Inputs!H6</f>
        <v>0.33618747903321139</v>
      </c>
    </row>
    <row r="22" spans="1:4">
      <c r="A22" s="16" t="s">
        <v>195</v>
      </c>
    </row>
  </sheetData>
  <mergeCells count="2">
    <mergeCell ref="A1:D1"/>
    <mergeCell ref="A2:D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Model_Inputs</vt:lpstr>
      <vt:lpstr>EIA_Demand</vt:lpstr>
      <vt:lpstr>Monthly_Demand_Dth</vt:lpstr>
      <vt:lpstr>Storage_Inputs</vt:lpstr>
      <vt:lpstr>EIA_Storage_History</vt:lpstr>
      <vt:lpstr>LP_Ready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YX0J1WQ9@outlook.com</cp:lastModifiedBy>
  <dcterms:modified xsi:type="dcterms:W3CDTF">2026-10-19T00:57:09Z</dcterms:modified>
</cp:coreProperties>
</file>